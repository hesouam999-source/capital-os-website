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aba229bba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afa5ef42bfdf4870"/>
    <x:sheet xmlns:r="http://schemas.openxmlformats.org/officeDocument/2006/relationships" name="Баланс по месяцам" sheetId="2" r:id="R86b176a9950b42aa"/>
    <x:sheet xmlns:r="http://schemas.openxmlformats.org/officeDocument/2006/relationships" name="Начните здесь" sheetId="3" r:id="R53729e1b2d88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#,##0.00"/>
    <x:numFmt numFmtId="202" formatCode="#,##0.00;[Red](#,##0.00);–"/>
    <x:numFmt numFmtId="203" formatCode="#,##0;[Red](#,##0)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02235"/>
      <x:name val="Carlito"/>
    </x:font>
    <x:font>
      <x:sz val="11"/>
      <x:color rgb="FF102235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235"/>
      </x:patternFill>
    </x:fill>
    <x:fill>
      <x:patternFill patternType="solid">
        <x:fgColor rgb="FF117C68"/>
      </x:patternFill>
    </x:fill>
    <x:fill>
      <x:patternFill patternType="solid">
        <x:fgColor rgb="FFE8F4EF"/>
      </x:patternFill>
    </x:fill>
    <x:fill>
      <x:patternFill patternType="solid">
        <x:fgColor rgb="FFDCEAF4"/>
      </x:patternFill>
    </x:fill>
    <x:fill>
      <x:patternFill patternType="solid">
        <x:fgColor rgb="FFDCEFF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3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3" fillId="4" borderId="0" xfId="0" applyNumberFormat="1" applyFont="1" applyFill="1" applyBorder="1"/>
    <x:xf numFmtId="202" fontId="0" fillId="0" borderId="0" xfId="0" applyNumberFormat="1" applyFont="1" applyFill="1" applyBorder="1"/>
    <x:xf numFmtId="202" fontId="2" fillId="2" borderId="0" xfId="0" applyNumberFormat="1" applyFont="1" applyFill="1" applyBorder="1"/>
    <x:xf numFmtId="202" fontId="0" fillId="5" borderId="1" xfId="0" applyNumberFormat="1" applyFont="1" applyFill="1" applyBorder="1"/>
    <x:xf numFmtId="202" fontId="3" fillId="4" borderId="1" xfId="0" applyNumberFormat="1" applyFont="1" applyFill="1" applyBorder="1"/>
    <x:xf numFmtId="202" fontId="0" fillId="0" borderId="1" xfId="0" applyNumberFormat="1" applyFont="1" applyFill="1" applyBorder="1"/>
    <x:xf numFmtId="202" fontId="2" fillId="2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edaccc1484940" /><Relationship Type="http://schemas.openxmlformats.org/officeDocument/2006/relationships/theme" Target="/xl/theme/theme1.xml" Id="Re81c20b39c2848f1" /><Relationship Type="http://schemas.openxmlformats.org/officeDocument/2006/relationships/sharedStrings" Target="/xl/sharedStrings.xml" Id="Rc26a1f82f00b4ec9" /><Relationship Type="http://schemas.openxmlformats.org/officeDocument/2006/relationships/worksheet" Target="/xl/worksheets/sheet1.xml" Id="Rafa5ef42bfdf4870" /><Relationship Type="http://schemas.openxmlformats.org/officeDocument/2006/relationships/worksheet" Target="/xl/worksheets/sheet2.xml" Id="R86b176a9950b42aa" /><Relationship Type="http://schemas.openxmlformats.org/officeDocument/2006/relationships/worksheet" Target="/xl/worksheets/sheet3.xml" Id="R53729e1b2d88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</x:cols>
  <x:sheetData>
    <x:row r="1" ht="27" customHeight="1">
      <x:c r="A1" s="3" t="str">
        <x:v>МОЙ КАПИТАЛ | ЛИЧНЫЙ ОБЗОР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4">
      <x:c r="A4" s="7" t="str">
        <x:v>Последний месяц</x:v>
      </x:c>
      <x:c r="B4" s="7" t="str">
        <x:v>Чистый капитал</x:v>
      </x:c>
    </x:row>
    <x:row r="5">
      <x:c r="A5" s="10" t="n">
        <x:f>'Баланс по месяцам'!M4</x:f>
        <x:v>46357</x:v>
      </x:c>
      <x:c r="B5" s="12" t="n">
        <x:f>'Баланс по месяцам'!M33</x:f>
        <x:v>0</x:v>
      </x:c>
    </x:row>
    <x:row r="8">
      <x:c r="A8" s="14" t="str">
        <x:v>Месяц</x:v>
      </x:c>
      <x:c r="B8" s="14" t="str">
        <x:v>Капитал</x:v>
      </x:c>
      <x:c r="C8" s="14" t="str">
        <x:v>Деньги</x:v>
      </x:c>
      <x:c r="D8" s="14" t="str">
        <x:v>Изменение</x:v>
      </x:c>
    </x:row>
    <x:row r="9">
      <x:c r="A9" s="10" t="n">
        <x:f>'Баланс по месяцам'!B4</x:f>
        <x:v>46023</x:v>
      </x:c>
      <x:c r="B9" s="28" t="n">
        <x:f>'Баланс по месяцам'!B33</x:f>
        <x:v>120000</x:v>
      </x:c>
      <x:c r="C9" s="28" t="n">
        <x:f>'Баланс по месяцам'!B27</x:f>
        <x:v>18000</x:v>
      </x:c>
      <x:c r="D9" s="28" t="n">
        <x:f>0</x:f>
        <x:v>0</x:v>
      </x:c>
    </x:row>
    <x:row r="10">
      <x:c r="A10" s="10" t="n">
        <x:f>'Баланс по месяцам'!C4</x:f>
        <x:v>46054</x:v>
      </x:c>
      <x:c r="B10" s="28" t="n">
        <x:f>'Баланс по месяцам'!C33</x:f>
        <x:v>126300</x:v>
      </x:c>
      <x:c r="C10" s="28" t="n">
        <x:f>'Баланс по месяцам'!C27</x:f>
        <x:v>19300</x:v>
      </x:c>
      <x:c r="D10" s="28" t="n">
        <x:f>B10-B9</x:f>
        <x:v>6300</x:v>
      </x:c>
    </x:row>
    <x:row r="11">
      <x:c r="A11" s="10" t="n">
        <x:f>'Баланс по месяцам'!D4</x:f>
        <x:v>46082</x:v>
      </x:c>
      <x:c r="B11" s="28" t="n">
        <x:f>'Баланс по месяцам'!D33</x:f>
        <x:v>0</x:v>
      </x:c>
      <x:c r="C11" s="28" t="n">
        <x:f>'Баланс по месяцам'!D27</x:f>
        <x:v>0</x:v>
      </x:c>
      <x:c r="D11" s="28" t="n">
        <x:f>B11-B10</x:f>
        <x:v>-126300</x:v>
      </x:c>
    </x:row>
    <x:row r="12">
      <x:c r="A12" s="10" t="n">
        <x:f>'Баланс по месяцам'!E4</x:f>
        <x:v>46113</x:v>
      </x:c>
      <x:c r="B12" s="28" t="n">
        <x:f>'Баланс по месяцам'!E33</x:f>
        <x:v>0</x:v>
      </x:c>
      <x:c r="C12" s="28" t="n">
        <x:f>'Баланс по месяцам'!E27</x:f>
        <x:v>0</x:v>
      </x:c>
      <x:c r="D12" s="28" t="n">
        <x:f>B12-B11</x:f>
        <x:v>0</x:v>
      </x:c>
    </x:row>
    <x:row r="13">
      <x:c r="A13" s="10" t="n">
        <x:f>'Баланс по месяцам'!F4</x:f>
        <x:v>46143</x:v>
      </x:c>
      <x:c r="B13" s="28" t="n">
        <x:f>'Баланс по месяцам'!F33</x:f>
        <x:v>0</x:v>
      </x:c>
      <x:c r="C13" s="28" t="n">
        <x:f>'Баланс по месяцам'!F27</x:f>
        <x:v>0</x:v>
      </x:c>
      <x:c r="D13" s="28" t="n">
        <x:f>B13-B12</x:f>
        <x:v>0</x:v>
      </x:c>
    </x:row>
    <x:row r="14">
      <x:c r="A14" s="10" t="n">
        <x:f>'Баланс по месяцам'!G4</x:f>
        <x:v>46174</x:v>
      </x:c>
      <x:c r="B14" s="28" t="n">
        <x:f>'Баланс по месяцам'!G33</x:f>
        <x:v>0</x:v>
      </x:c>
      <x:c r="C14" s="28" t="n">
        <x:f>'Баланс по месяцам'!G27</x:f>
        <x:v>0</x:v>
      </x:c>
      <x:c r="D14" s="28" t="n">
        <x:f>B14-B13</x:f>
        <x:v>0</x:v>
      </x:c>
    </x:row>
    <x:row r="15">
      <x:c r="A15" s="10" t="n">
        <x:f>'Баланс по месяцам'!H4</x:f>
        <x:v>46204</x:v>
      </x:c>
      <x:c r="B15" s="28" t="n">
        <x:f>'Баланс по месяцам'!H33</x:f>
        <x:v>0</x:v>
      </x:c>
      <x:c r="C15" s="28" t="n">
        <x:f>'Баланс по месяцам'!H27</x:f>
        <x:v>0</x:v>
      </x:c>
      <x:c r="D15" s="28" t="n">
        <x:f>B15-B14</x:f>
        <x:v>0</x:v>
      </x:c>
    </x:row>
    <x:row r="16">
      <x:c r="A16" s="10" t="n">
        <x:f>'Баланс по месяцам'!I4</x:f>
        <x:v>46235</x:v>
      </x:c>
      <x:c r="B16" s="28" t="n">
        <x:f>'Баланс по месяцам'!I33</x:f>
        <x:v>0</x:v>
      </x:c>
      <x:c r="C16" s="28" t="n">
        <x:f>'Баланс по месяцам'!I27</x:f>
        <x:v>0</x:v>
      </x:c>
      <x:c r="D16" s="28" t="n">
        <x:f>B16-B15</x:f>
        <x:v>0</x:v>
      </x:c>
    </x:row>
    <x:row r="17">
      <x:c r="A17" s="10" t="n">
        <x:f>'Баланс по месяцам'!J4</x:f>
        <x:v>46266</x:v>
      </x:c>
      <x:c r="B17" s="28" t="n">
        <x:f>'Баланс по месяцам'!J33</x:f>
        <x:v>0</x:v>
      </x:c>
      <x:c r="C17" s="28" t="n">
        <x:f>'Баланс по месяцам'!J27</x:f>
        <x:v>0</x:v>
      </x:c>
      <x:c r="D17" s="28" t="n">
        <x:f>B17-B16</x:f>
        <x:v>0</x:v>
      </x:c>
    </x:row>
    <x:row r="18">
      <x:c r="A18" s="10" t="n">
        <x:f>'Баланс по месяцам'!K4</x:f>
        <x:v>46296</x:v>
      </x:c>
      <x:c r="B18" s="28" t="n">
        <x:f>'Баланс по месяцам'!K33</x:f>
        <x:v>0</x:v>
      </x:c>
      <x:c r="C18" s="28" t="n">
        <x:f>'Баланс по месяцам'!K27</x:f>
        <x:v>0</x:v>
      </x:c>
      <x:c r="D18" s="28" t="n">
        <x:f>B18-B17</x:f>
        <x:v>0</x:v>
      </x:c>
    </x:row>
    <x:row r="19">
      <x:c r="A19" s="10" t="n">
        <x:f>'Баланс по месяцам'!L4</x:f>
        <x:v>46327</x:v>
      </x:c>
      <x:c r="B19" s="28" t="n">
        <x:f>'Баланс по месяцам'!L33</x:f>
        <x:v>0</x:v>
      </x:c>
      <x:c r="C19" s="28" t="n">
        <x:f>'Баланс по месяцам'!L27</x:f>
        <x:v>0</x:v>
      </x:c>
      <x:c r="D19" s="28" t="n">
        <x:f>B19-B18</x:f>
        <x:v>0</x:v>
      </x:c>
    </x:row>
    <x:row r="20">
      <x:c r="A20" s="10" t="n">
        <x:f>'Баланс по месяцам'!M4</x:f>
        <x:v>46357</x:v>
      </x:c>
      <x:c r="B20" s="28" t="n">
        <x:f>'Баланс по месяцам'!M33</x:f>
        <x:v>0</x:v>
      </x:c>
      <x:c r="C20" s="28" t="n">
        <x:f>'Баланс по месяцам'!M27</x:f>
        <x:v>0</x:v>
      </x:c>
      <x:c r="D20" s="28" t="n">
        <x:f>B20-B19</x:f>
        <x:v>0</x:v>
      </x:c>
    </x:row>
    <x:row r="23">
      <x:c r="A23" s="34" t="str">
        <x:v>Голубые ячейки для заполнения. Цифры — только пример.</x:v>
      </x:c>
      <x:c r="B23" s="34"/>
      <x:c r="C23" s="34"/>
      <x:c r="D23" s="34"/>
      <x:c r="E23" s="34"/>
      <x:c r="F23" s="34"/>
    </x:row>
  </x:sheetData>
  <x:mergeCells>
    <x:mergeCell ref="A1:F2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5" customHeight="1">
      <x:c r="A1" s="14" t="str">
        <x:v>КАПИТАЛ | ПОМЕСЯЧНЫЕ ОСТАТКИ (ЗАПОЛНЯЙТЕ ГОЛУБЫЕ ЯЧЕЙКИ)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25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4">
      <x:c r="A4" s="7" t="str">
        <x:v>Объект / счёт</x:v>
      </x:c>
      <x:c r="B4" s="17" t="n">
        <x:v>46023</x:v>
      </x:c>
      <x:c r="C4" s="17" t="n">
        <x:v>46054</x:v>
      </x:c>
      <x:c r="D4" s="17" t="n">
        <x:v>46082</x:v>
      </x:c>
      <x:c r="E4" s="17" t="n">
        <x:v>46113</x:v>
      </x:c>
      <x:c r="F4" s="17" t="n">
        <x:v>46143</x:v>
      </x:c>
      <x:c r="G4" s="17" t="n">
        <x:v>46174</x:v>
      </x:c>
      <x:c r="H4" s="17" t="n">
        <x:v>46204</x:v>
      </x:c>
      <x:c r="I4" s="17" t="n">
        <x:v>46235</x:v>
      </x:c>
      <x:c r="J4" s="17" t="n">
        <x:v>46266</x:v>
      </x:c>
      <x:c r="K4" s="17" t="n">
        <x:v>46296</x:v>
      </x:c>
      <x:c r="L4" s="17" t="n">
        <x:v>46327</x:v>
      </x:c>
      <x:c r="M4" s="17" t="n">
        <x:v>46357</x:v>
      </x:c>
    </x:row>
    <x:row r="5">
      <x:c r="A5" s="14" t="str">
        <x:v>АКТИВЫ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</x:row>
    <x:row r="6">
      <x:c r="A6" t="str">
        <x:v>Текущий счёт</x:v>
      </x:c>
      <x:c r="B6" s="26" t="n">
        <x:v>4000</x:v>
      </x:c>
      <x:c r="C6" s="39" t="n">
        <x:v>4600</x:v>
      </x:c>
      <x:c r="D6" s="26"/>
      <x:c r="E6" s="26"/>
      <x:c r="F6" s="26"/>
      <x:c r="G6" s="26"/>
      <x:c r="H6" s="26"/>
      <x:c r="I6" s="26"/>
      <x:c r="J6" s="26"/>
      <x:c r="K6" s="26"/>
      <x:c r="L6" s="26"/>
      <x:c r="M6" s="26"/>
    </x:row>
    <x:row r="7">
      <x:c r="A7" t="str">
        <x:v>Накопления</x:v>
      </x:c>
      <x:c r="B7" s="26" t="n">
        <x:v>14000</x:v>
      </x:c>
      <x:c r="C7" s="39" t="n">
        <x:v>14700</x:v>
      </x:c>
      <x:c r="D7" s="26"/>
      <x:c r="E7" s="26"/>
      <x:c r="F7" s="26"/>
      <x:c r="G7" s="26"/>
      <x:c r="H7" s="26"/>
      <x:c r="I7" s="26"/>
      <x:c r="J7" s="26"/>
      <x:c r="K7" s="26"/>
      <x:c r="L7" s="26"/>
      <x:c r="M7" s="26"/>
    </x:row>
    <x:row r="8">
      <x:c r="A8" t="str">
        <x:v>Брокер</x:v>
      </x:c>
      <x:c r="B8" s="26" t="n">
        <x:v>42000</x:v>
      </x:c>
      <x:c r="C8" s="39" t="n">
        <x:v>43500</x:v>
      </x:c>
      <x:c r="D8" s="26"/>
      <x:c r="E8" s="26"/>
      <x:c r="F8" s="26"/>
      <x:c r="G8" s="26"/>
      <x:c r="H8" s="26"/>
      <x:c r="I8" s="26"/>
      <x:c r="J8" s="26"/>
      <x:c r="K8" s="26"/>
      <x:c r="L8" s="26"/>
      <x:c r="M8" s="26"/>
    </x:row>
    <x:row r="9">
      <x:c r="A9" t="str">
        <x:v>Пенсионный счёт</x:v>
      </x:c>
      <x:c r="B9" s="26"/>
      <x:c r="C9" s="39"/>
      <x:c r="D9" s="26"/>
      <x:c r="E9" s="26"/>
      <x:c r="F9" s="26"/>
      <x:c r="G9" s="26"/>
      <x:c r="H9" s="26"/>
      <x:c r="I9" s="26"/>
      <x:c r="J9" s="26"/>
      <x:c r="K9" s="26"/>
      <x:c r="L9" s="26"/>
      <x:c r="M9" s="26"/>
    </x:row>
    <x:row r="10">
      <x:c r="A10" t="str">
        <x:v>Наличные</x:v>
      </x:c>
      <x:c r="B10" s="26"/>
      <x:c r="C10" s="39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</x:row>
    <x:row r="11">
      <x:c r="A11" t="str">
        <x:v>Недвижимость</x:v>
      </x:c>
      <x:c r="B11" s="26" t="n">
        <x:v>240000</x:v>
      </x:c>
      <x:c r="C11" s="39" t="n">
        <x:v>242000</x:v>
      </x:c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</x:row>
    <x:row r="12">
      <x:c r="A12" t="str">
        <x:v>Автомобиль</x:v>
      </x:c>
      <x:c r="B12" s="26"/>
      <x:c r="C12" s="39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</x:row>
    <x:row r="13">
      <x:c r="A13" t="str">
        <x:v>Криптовалюта</x:v>
      </x:c>
      <x:c r="B13" s="26"/>
      <x:c r="C13" s="39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</x:row>
    <x:row r="14">
      <x:c r="A14" t="str">
        <x:v>Другие активы</x:v>
      </x:c>
      <x:c r="B14" s="26"/>
      <x:c r="C14" s="39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</x:row>
    <x:row r="15">
      <x:c r="A15" s="21" t="str">
        <x:v>ВСЕГО АКТИВОВ</x:v>
      </x:c>
      <x:c r="B15" s="27" t="n">
        <x:f>SUM(B6:B14)</x:f>
        <x:v>300000</x:v>
      </x:c>
      <x:c r="C15" s="27" t="n">
        <x:f>SUM(C6:C14)</x:f>
        <x:v>304800</x:v>
      </x:c>
      <x:c r="D15" s="27" t="n">
        <x:f>SUM(D6:D14)</x:f>
        <x:v>0</x:v>
      </x:c>
      <x:c r="E15" s="27" t="n">
        <x:f>SUM(E6:E14)</x:f>
        <x:v>0</x:v>
      </x:c>
      <x:c r="F15" s="27" t="n">
        <x:f>SUM(F6:F14)</x:f>
        <x:v>0</x:v>
      </x:c>
      <x:c r="G15" s="27" t="n">
        <x:f>SUM(G6:G14)</x:f>
        <x:v>0</x:v>
      </x:c>
      <x:c r="H15" s="27" t="n">
        <x:f>SUM(H6:H14)</x:f>
        <x:v>0</x:v>
      </x:c>
      <x:c r="I15" s="27" t="n">
        <x:f>SUM(I6:I14)</x:f>
        <x:v>0</x:v>
      </x:c>
      <x:c r="J15" s="27" t="n">
        <x:f>SUM(J6:J14)</x:f>
        <x:v>0</x:v>
      </x:c>
      <x:c r="K15" s="27" t="n">
        <x:f>SUM(K6:K14)</x:f>
        <x:v>0</x:v>
      </x:c>
      <x:c r="L15" s="27" t="n">
        <x:f>SUM(L6:L14)</x:f>
        <x:v>0</x:v>
      </x:c>
      <x:c r="M15" s="27" t="n">
        <x:f>SUM(M6:M14)</x:f>
        <x:v>0</x:v>
      </x:c>
    </x:row>
    <x:row r="16"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</x:row>
    <x:row r="17"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</x:row>
    <x:row r="18">
      <x:c r="A18" s="14" t="str">
        <x:v>ОБЯЗАТЕЛЬСТВА</x:v>
      </x:c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</x:row>
    <x:row r="19">
      <x:c r="A19" t="str">
        <x:v>Ипотека</x:v>
      </x:c>
      <x:c r="B19" s="26" t="n">
        <x:v>175000</x:v>
      </x:c>
      <x:c r="C19" s="39" t="n">
        <x:v>174000</x:v>
      </x:c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</x:row>
    <x:row r="20">
      <x:c r="A20" t="str">
        <x:v>Автокредит</x:v>
      </x:c>
      <x:c r="B20" s="26"/>
      <x:c r="C20" s="39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</x:row>
    <x:row r="21">
      <x:c r="A21" t="str">
        <x:v>Кредитные карты</x:v>
      </x:c>
      <x:c r="B21" s="26"/>
      <x:c r="C21" s="39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</x:row>
    <x:row r="22">
      <x:c r="A22" t="str">
        <x:v>Другие долги</x:v>
      </x:c>
      <x:c r="B22" s="26" t="n">
        <x:v>5000</x:v>
      </x:c>
      <x:c r="C22" s="39" t="n">
        <x:v>4500</x:v>
      </x:c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</x:row>
    <x:row r="23">
      <x:c r="A23" s="21" t="str">
        <x:v>ВСЕГО ДОЛГОВ</x:v>
      </x:c>
      <x:c r="B23" s="27" t="n">
        <x:f>SUM(B19:B22)</x:f>
        <x:v>180000</x:v>
      </x:c>
      <x:c r="C23" s="27" t="n">
        <x:f>SUM(C19:C22)</x:f>
        <x:v>178500</x:v>
      </x:c>
      <x:c r="D23" s="27" t="n">
        <x:f>SUM(D19:D22)</x:f>
        <x:v>0</x:v>
      </x:c>
      <x:c r="E23" s="27" t="n">
        <x:f>SUM(E19:E22)</x:f>
        <x:v>0</x:v>
      </x:c>
      <x:c r="F23" s="27" t="n">
        <x:f>SUM(F19:F22)</x:f>
        <x:v>0</x:v>
      </x:c>
      <x:c r="G23" s="27" t="n">
        <x:f>SUM(G19:G22)</x:f>
        <x:v>0</x:v>
      </x:c>
      <x:c r="H23" s="27" t="n">
        <x:f>SUM(H19:H22)</x:f>
        <x:v>0</x:v>
      </x:c>
      <x:c r="I23" s="27" t="n">
        <x:f>SUM(I19:I22)</x:f>
        <x:v>0</x:v>
      </x:c>
      <x:c r="J23" s="27" t="n">
        <x:f>SUM(J19:J22)</x:f>
        <x:v>0</x:v>
      </x:c>
      <x:c r="K23" s="27" t="n">
        <x:f>SUM(K19:K22)</x:f>
        <x:v>0</x:v>
      </x:c>
      <x:c r="L23" s="27" t="n">
        <x:f>SUM(L19:L22)</x:f>
        <x:v>0</x:v>
      </x:c>
      <x:c r="M23" s="27" t="n">
        <x:f>SUM(M19:M22)</x:f>
        <x:v>0</x:v>
      </x:c>
    </x:row>
    <x:row r="24"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</x:row>
    <x:row r="25"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</x:row>
    <x:row r="26">
      <x:c r="A26" s="14" t="str">
        <x:v>ДЕНЕЖНЫЕ СРЕДСТВА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</x:row>
    <x:row r="27">
      <x:c r="A27" s="21" t="str">
        <x:v>Счета и наличные</x:v>
      </x:c>
      <x:c r="B27" s="27" t="n">
        <x:f>SUM(B6:B7)+B10</x:f>
        <x:v>18000</x:v>
      </x:c>
      <x:c r="C27" s="27" t="n">
        <x:f>SUM(C6:C7)+C10</x:f>
        <x:v>19300</x:v>
      </x:c>
      <x:c r="D27" s="27" t="n">
        <x:f>SUM(D6:D7)+D10</x:f>
        <x:v>0</x:v>
      </x:c>
      <x:c r="E27" s="27" t="n">
        <x:f>SUM(E6:E7)+E10</x:f>
        <x:v>0</x:v>
      </x:c>
      <x:c r="F27" s="27" t="n">
        <x:f>SUM(F6:F7)+F10</x:f>
        <x:v>0</x:v>
      </x:c>
      <x:c r="G27" s="27" t="n">
        <x:f>SUM(G6:G7)+G10</x:f>
        <x:v>0</x:v>
      </x:c>
      <x:c r="H27" s="27" t="n">
        <x:f>SUM(H6:H7)+H10</x:f>
        <x:v>0</x:v>
      </x:c>
      <x:c r="I27" s="27" t="n">
        <x:f>SUM(I6:I7)+I10</x:f>
        <x:v>0</x:v>
      </x:c>
      <x:c r="J27" s="27" t="n">
        <x:f>SUM(J6:J7)+J10</x:f>
        <x:v>0</x:v>
      </x:c>
      <x:c r="K27" s="27" t="n">
        <x:f>SUM(K6:K7)+K10</x:f>
        <x:v>0</x:v>
      </x:c>
      <x:c r="L27" s="27" t="n">
        <x:f>SUM(L6:L7)+L10</x:f>
        <x:v>0</x:v>
      </x:c>
      <x:c r="M27" s="27" t="n">
        <x:f>SUM(M6:M7)+M10</x:f>
        <x:v>0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</x:row>
    <x:row r="29"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</x:row>
    <x:row r="30"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</x:row>
    <x:row r="31"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</x:row>
    <x:row r="32"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</x:row>
    <x:row r="33">
      <x:c r="A33" s="21" t="str">
        <x:v>ЧИСТЫЙ КАПИТАЛ</x:v>
      </x:c>
      <x:c r="B33" s="27" t="n">
        <x:f>B15-B23</x:f>
        <x:v>120000</x:v>
      </x:c>
      <x:c r="C33" s="27" t="n">
        <x:f>C15-C23</x:f>
        <x:v>126300</x:v>
      </x:c>
      <x:c r="D33" s="27" t="n">
        <x:f>D15-D23</x:f>
        <x:v>0</x:v>
      </x:c>
      <x:c r="E33" s="27" t="n">
        <x:f>E15-E23</x:f>
        <x:v>0</x:v>
      </x:c>
      <x:c r="F33" s="27" t="n">
        <x:f>F15-F23</x:f>
        <x:v>0</x:v>
      </x:c>
      <x:c r="G33" s="27" t="n">
        <x:f>G15-G23</x:f>
        <x:v>0</x:v>
      </x:c>
      <x:c r="H33" s="27" t="n">
        <x:f>H15-H23</x:f>
        <x:v>0</x:v>
      </x:c>
      <x:c r="I33" s="27" t="n">
        <x:f>I15-I23</x:f>
        <x:v>0</x:v>
      </x:c>
      <x:c r="J33" s="27" t="n">
        <x:f>J15-J23</x:f>
        <x:v>0</x:v>
      </x:c>
      <x:c r="K33" s="27" t="n">
        <x:f>K15-K23</x:f>
        <x:v>0</x:v>
      </x:c>
      <x:c r="L33" s="27" t="n">
        <x:f>L15-L23</x:f>
        <x:v>0</x:v>
      </x:c>
      <x:c r="M33" s="27" t="n">
        <x:f>M15-M23</x:f>
        <x:v>0</x:v>
      </x:c>
    </x:row>
  </x:sheetData>
  <x:mergeCells>
    <x:mergeCell ref="A1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6" t="str">
        <x:v>НАЧНИТЕ ЗДЕСЬ | 3 ПРОСТЫХ ШАГА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4" ht="31" customHeight="1">
      <x:c r="A4" t="str">
        <x:v>1. Откройте «Баланс по месяцам» и замените голубые суммы.</x:v>
      </x:c>
    </x:row>
    <x:row r="5" ht="31" customHeight="1">
      <x:c r="A5" t="str">
        <x:v>2. Заполните месяцы. Долги вводите положительными — формула их вычитает.</x:v>
      </x:c>
    </x:row>
    <x:row r="6" ht="31" customHeight="1">
      <x:c r="A6" t="str">
        <x:v>3. Посмотрите итоги и историю на листе «Обзор».</x:v>
      </x:c>
    </x:row>
    <x:row r="7" ht="31" customHeight="1">
      <x:c r="A7" t="str">
        <x:v>В этой простой таблице используйте ОДНУ валюту (например, USD).</x:v>
      </x:c>
    </x:row>
    <x:row r="8" ht="31" customHeight="1">
      <x:c r="A8" t="str">
        <x:v>Хотите перенести в Capital OS? Используйте инструкцию для ИИ:</x:v>
      </x:c>
    </x:row>
    <x:row r="9" ht="31" customHeight="1">
      <x:c r="A9" t="str">
        <x:v>https://mycapitalos.com/import/excel/</x:v>
      </x:c>
    </x:row>
    <x:row r="10" ht="31" customHeight="1">
      <x:c r="A10" t="str">
        <x:v>Сохраните копию и проверьте суммы после конвертации.</x:v>
      </x:c>
    </x:row>
    <x:row r="11" ht="31" customHeight="1">
      <x:c r="A11" t="str">
        <x:v>Этот файл НЕ импортируется в Capital OS напрямую.</x:v>
      </x:c>
    </x:row>
    <x:row r="12">
      <x:c r="A12" t="str">
        <x:v>В таблице заполнены два месяца для примера. Замените суммы своими.</x:v>
      </x:c>
    </x:row>
  </x:sheetData>
  <x:mergeCells>
    <x:mergeCell ref="A1:F2"/>
  </x:mergeCells>
  <x:pageMargins left="0.7" right="0.7" top="0.75" bottom="0.75" header="0.3" footer="0.3"/>
</x:worksheet>
</file>